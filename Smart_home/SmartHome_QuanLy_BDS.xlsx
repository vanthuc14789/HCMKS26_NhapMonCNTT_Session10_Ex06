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Sach" sheetId="1" state="visible" r:id="rId3"/>
    <sheet name="HoaHong" sheetId="2" state="visible" r:id="rId4"/>
    <sheet name="GiaDin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<sst xmlns="http://schemas.openxmlformats.org/spreadsheetml/2006/main" count="49" uniqueCount="40">
  <si>
    <t xml:space="preserve">Mã BĐS</t>
  </si>
  <si>
    <t xml:space="preserve">Tên bất động sản</t>
  </si>
  <si>
    <t xml:space="preserve">Mã loại</t>
  </si>
  <si>
    <t xml:space="preserve">Diện tích (m2)</t>
  </si>
  <si>
    <t xml:space="preserve">Giá khởi điểm (VNĐ)</t>
  </si>
  <si>
    <t xml:space="preserve">Chiết khấu</t>
  </si>
  <si>
    <t xml:space="preserve">Giá sau chiết khấu (VNĐ)</t>
  </si>
  <si>
    <t xml:space="preserve">Giá thuê/tháng (VNĐ)</t>
  </si>
  <si>
    <t xml:space="preserve">Tỷ lệ hoa hồng</t>
  </si>
  <si>
    <t xml:space="preserve">Hoa hồng môi giới (VNĐ)</t>
  </si>
  <si>
    <t xml:space="preserve">BDS001</t>
  </si>
  <si>
    <t xml:space="preserve">Căn hộ Q7 2PN</t>
  </si>
  <si>
    <t xml:space="preserve">CC</t>
  </si>
  <si>
    <t xml:space="preserve">BDS002</t>
  </si>
  <si>
    <t xml:space="preserve">Nhà phố Thủ Đức</t>
  </si>
  <si>
    <t xml:space="preserve">NP</t>
  </si>
  <si>
    <t xml:space="preserve">BDS003</t>
  </si>
  <si>
    <t xml:space="preserve">Biệt thự Bình Chánh</t>
  </si>
  <si>
    <t xml:space="preserve">BT</t>
  </si>
  <si>
    <t xml:space="preserve">BDS004</t>
  </si>
  <si>
    <t xml:space="preserve">Đất nền Nhơn Trạch</t>
  </si>
  <si>
    <t xml:space="preserve">DT</t>
  </si>
  <si>
    <t xml:space="preserve">BDS005</t>
  </si>
  <si>
    <t xml:space="preserve">Căn hộ Bình Thạnh 1PN</t>
  </si>
  <si>
    <t xml:space="preserve">BDS006</t>
  </si>
  <si>
    <t xml:space="preserve">Nhà phố Gò Vấp</t>
  </si>
  <si>
    <t xml:space="preserve">Chú thích: chữ xanh = dữ liệu nhập; không Merge Cell; mỗi cột là 1 Field, mỗi dòng là 1 Record. Mã BĐS 001–006 là dữ liệu minh họa.</t>
  </si>
  <si>
    <t xml:space="preserve">Tên loại</t>
  </si>
  <si>
    <t xml:space="preserve">Căn hộ chung cư</t>
  </si>
  <si>
    <t xml:space="preserve">Nhà phố</t>
  </si>
  <si>
    <t xml:space="preserve">Biệt thự</t>
  </si>
  <si>
    <t xml:space="preserve">Đất nền</t>
  </si>
  <si>
    <t xml:space="preserve">Tham số</t>
  </si>
  <si>
    <t xml:space="preserve">Giá trị</t>
  </si>
  <si>
    <t xml:space="preserve">Ghi chú</t>
  </si>
  <si>
    <t xml:space="preserve">Tỷ suất giá thuê / tháng</t>
  </si>
  <si>
    <t xml:space="preserve">GIẢ ĐỊNH minh họa: 0,4% giá sau chiết khấu mỗi tháng</t>
  </si>
  <si>
    <t xml:space="preserve">Chiết khấu đấu giá sớm</t>
  </si>
  <si>
    <t xml:space="preserve">GIẢ ĐỊNH minh họa: tham khảo, thay bằng số của giảng viên/dự án</t>
  </si>
  <si>
    <t xml:space="preserve">Ô chữ xanh = ô nhập liệu; đổi ở đây, các bảng tự tính lại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</si>
</sst>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10" min="3" style="0" width="2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3" t="s">
        <v>12</v>
      </c>
      <c r="D2" s="3" t="n">
        <v>70</v>
      </c>
      <c r="E2" s="4" t="n">
        <v>3200000000</v>
      </c>
      <c r="F2" s="5" t="n">
        <f aca="false">GiaDinh!$B$3</f>
        <v>0.05</v>
      </c>
      <c r="G2" s="6" t="n">
        <f aca="false">E2*(1-F2)</f>
        <v>3040000000</v>
      </c>
      <c r="H2" s="6" t="n">
        <f aca="false">G2*GiaDinh!$B$2</f>
        <v>12160000</v>
      </c>
      <c r="I2" s="5" t="n">
        <f aca="false">VLOOKUP(C2,HoaHong!$A$2:$C$5,3,FALSE())</f>
        <v>0.02</v>
      </c>
      <c r="J2" s="6" t="n">
        <f aca="false">G2*I2</f>
        <v>60800000</v>
      </c>
    </row>
    <row r="3" customFormat="false" ht="15" hidden="false" customHeight="false" outlineLevel="0" collapsed="false">
      <c r="A3" s="2" t="s">
        <v>13</v>
      </c>
      <c r="B3" s="2" t="s">
        <v>14</v>
      </c>
      <c r="C3" s="3" t="s">
        <v>15</v>
      </c>
      <c r="D3" s="3" t="n">
        <v>90</v>
      </c>
      <c r="E3" s="4" t="n">
        <v>6800000000</v>
      </c>
      <c r="F3" s="5" t="n">
        <f aca="false">GiaDinh!$B$3</f>
        <v>0.05</v>
      </c>
      <c r="G3" s="6" t="n">
        <f aca="false">E3*(1-F3)</f>
        <v>6460000000</v>
      </c>
      <c r="H3" s="6" t="n">
        <f aca="false">G3*GiaDinh!$B$2</f>
        <v>25840000</v>
      </c>
      <c r="I3" s="5" t="n">
        <f aca="false">VLOOKUP(C3,HoaHong!$A$2:$C$5,3,FALSE())</f>
        <v>0.015</v>
      </c>
      <c r="J3" s="6" t="n">
        <f aca="false">G3*I3</f>
        <v>96900000</v>
      </c>
    </row>
    <row r="4" customFormat="false" ht="15" hidden="false" customHeight="false" outlineLevel="0" collapsed="false">
      <c r="A4" s="2" t="s">
        <v>16</v>
      </c>
      <c r="B4" s="2" t="s">
        <v>17</v>
      </c>
      <c r="C4" s="3" t="s">
        <v>18</v>
      </c>
      <c r="D4" s="3" t="n">
        <v>250</v>
      </c>
      <c r="E4" s="4" t="n">
        <v>15000000000</v>
      </c>
      <c r="F4" s="5" t="n">
        <f aca="false">GiaDinh!$B$3</f>
        <v>0.05</v>
      </c>
      <c r="G4" s="6" t="n">
        <f aca="false">E4*(1-F4)</f>
        <v>14250000000</v>
      </c>
      <c r="H4" s="6" t="n">
        <f aca="false">G4*GiaDinh!$B$2</f>
        <v>57000000</v>
      </c>
      <c r="I4" s="5" t="n">
        <f aca="false">VLOOKUP(C4,HoaHong!$A$2:$C$5,3,FALSE())</f>
        <v>0.01</v>
      </c>
      <c r="J4" s="6" t="n">
        <f aca="false">G4*I4</f>
        <v>142500000</v>
      </c>
    </row>
    <row r="5" customFormat="false" ht="15" hidden="false" customHeight="false" outlineLevel="0" collapsed="false">
      <c r="A5" s="2" t="s">
        <v>19</v>
      </c>
      <c r="B5" s="2" t="s">
        <v>20</v>
      </c>
      <c r="C5" s="3" t="s">
        <v>21</v>
      </c>
      <c r="D5" s="3" t="n">
        <v>100</v>
      </c>
      <c r="E5" s="4" t="n">
        <v>2500000000</v>
      </c>
      <c r="F5" s="5" t="n">
        <f aca="false">GiaDinh!$B$3</f>
        <v>0.05</v>
      </c>
      <c r="G5" s="6" t="n">
        <f aca="false">E5*(1-F5)</f>
        <v>2375000000</v>
      </c>
      <c r="H5" s="6" t="n">
        <f aca="false">G5*GiaDinh!$B$2</f>
        <v>9500000</v>
      </c>
      <c r="I5" s="5" t="n">
        <f aca="false">VLOOKUP(C5,HoaHong!$A$2:$C$5,3,FALSE())</f>
        <v>0.025</v>
      </c>
      <c r="J5" s="6" t="n">
        <f aca="false">G5*I5</f>
        <v>59375000</v>
      </c>
    </row>
    <row r="6" customFormat="false" ht="15" hidden="false" customHeight="false" outlineLevel="0" collapsed="false">
      <c r="A6" s="2" t="s">
        <v>22</v>
      </c>
      <c r="B6" s="2" t="s">
        <v>23</v>
      </c>
      <c r="C6" s="3" t="s">
        <v>12</v>
      </c>
      <c r="D6" s="3" t="n">
        <v>50</v>
      </c>
      <c r="E6" s="4" t="n">
        <v>2400000000</v>
      </c>
      <c r="F6" s="5" t="n">
        <f aca="false">GiaDinh!$B$3</f>
        <v>0.05</v>
      </c>
      <c r="G6" s="6" t="n">
        <f aca="false">E6*(1-F6)</f>
        <v>2280000000</v>
      </c>
      <c r="H6" s="6" t="n">
        <f aca="false">G6*GiaDinh!$B$2</f>
        <v>9120000</v>
      </c>
      <c r="I6" s="5" t="n">
        <f aca="false">VLOOKUP(C6,HoaHong!$A$2:$C$5,3,FALSE())</f>
        <v>0.02</v>
      </c>
      <c r="J6" s="6" t="n">
        <f aca="false">G6*I6</f>
        <v>45600000</v>
      </c>
    </row>
    <row r="7" customFormat="false" ht="15" hidden="false" customHeight="false" outlineLevel="0" collapsed="false">
      <c r="A7" s="2" t="s">
        <v>24</v>
      </c>
      <c r="B7" s="2" t="s">
        <v>25</v>
      </c>
      <c r="C7" s="3" t="s">
        <v>15</v>
      </c>
      <c r="D7" s="3" t="n">
        <v>72</v>
      </c>
      <c r="E7" s="4" t="n">
        <v>5200000000</v>
      </c>
      <c r="F7" s="5" t="n">
        <f aca="false">GiaDinh!$B$3</f>
        <v>0.05</v>
      </c>
      <c r="G7" s="6" t="n">
        <f aca="false">E7*(1-F7)</f>
        <v>4940000000</v>
      </c>
      <c r="H7" s="6" t="n">
        <f aca="false">G7*GiaDinh!$B$2</f>
        <v>19760000</v>
      </c>
      <c r="I7" s="5" t="n">
        <f aca="false">VLOOKUP(C7,HoaHong!$A$2:$C$5,3,FALSE())</f>
        <v>0.015</v>
      </c>
      <c r="J7" s="6" t="n">
        <f aca="false">G7*I7</f>
        <v>74100000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</row>
    <row r="9" customFormat="false" ht="15" hidden="false" customHeight="false" outlineLevel="0" collapsed="false">
      <c r="A9" s="7" t="s">
        <v>26</v>
      </c>
      <c r="B9" s="2"/>
      <c r="C9" s="2"/>
      <c r="D9" s="2"/>
      <c r="E9" s="2"/>
      <c r="F9" s="2"/>
      <c r="G9" s="2"/>
      <c r="H9" s="2"/>
      <c r="I9" s="2"/>
      <c r="J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5" hidden="false" customHeight="false" outlineLevel="0" collapsed="false">
      <c r="A1" s="1" t="s">
        <v>2</v>
      </c>
      <c r="B1" s="1" t="s">
        <v>27</v>
      </c>
      <c r="C1" s="1" t="s">
        <v>8</v>
      </c>
    </row>
    <row r="2" customFormat="false" ht="15" hidden="false" customHeight="false" outlineLevel="0" collapsed="false">
      <c r="A2" s="2" t="s">
        <v>12</v>
      </c>
      <c r="B2" s="2" t="s">
        <v>28</v>
      </c>
      <c r="C2" s="8" t="n">
        <v>0.02</v>
      </c>
    </row>
    <row r="3" customFormat="false" ht="15" hidden="false" customHeight="false" outlineLevel="0" collapsed="false">
      <c r="A3" s="2" t="s">
        <v>15</v>
      </c>
      <c r="B3" s="2" t="s">
        <v>29</v>
      </c>
      <c r="C3" s="8" t="n">
        <v>0.015</v>
      </c>
    </row>
    <row r="4" customFormat="false" ht="15" hidden="false" customHeight="false" outlineLevel="0" collapsed="false">
      <c r="A4" s="2" t="s">
        <v>18</v>
      </c>
      <c r="B4" s="2" t="s">
        <v>30</v>
      </c>
      <c r="C4" s="8" t="n">
        <v>0.01</v>
      </c>
    </row>
    <row r="5" customFormat="false" ht="15" hidden="false" customHeight="false" outlineLevel="0" collapsed="false">
      <c r="A5" s="2" t="s">
        <v>21</v>
      </c>
      <c r="B5" s="2" t="s">
        <v>31</v>
      </c>
      <c r="C5" s="8" t="n">
        <v>0.025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32</v>
      </c>
      <c r="B1" s="1" t="s">
        <v>33</v>
      </c>
      <c r="C1" s="1" t="s">
        <v>34</v>
      </c>
    </row>
    <row r="2" customFormat="false" ht="15" hidden="false" customHeight="false" outlineLevel="0" collapsed="false">
      <c r="A2" s="2" t="s">
        <v>35</v>
      </c>
      <c r="B2" s="8" t="n">
        <v>0.004</v>
      </c>
      <c r="C2" s="2" t="s">
        <v>36</v>
      </c>
    </row>
    <row r="3" customFormat="false" ht="15" hidden="false" customHeight="false" outlineLevel="0" collapsed="false">
      <c r="A3" s="2" t="s">
        <v>37</v>
      </c>
      <c r="B3" s="8" t="n">
        <v>0.05</v>
      </c>
      <c r="C3" s="2" t="s">
        <v>38</v>
      </c>
    </row>
    <row r="4" customFormat="false" ht="15" hidden="false" customHeight="false" outlineLevel="0" collapsed="false">
      <c r="A4" s="2" t="s">
        <v>34</v>
      </c>
      <c r="B4" s="2"/>
      <c r="C4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2026-10-26T20:38:47Z</dcterms:created>
  <dc:creator>openpyxl</dc:creator>
  <dc:description/>
  <dc:language>en-US</dc:language>
  <cp:lastModifiedBy/>
  <dcterms:modified xsi:type="dcterms:W3CDTF">2026-10-26T20:38:47Z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